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urso\Downloads\"/>
    </mc:Choice>
  </mc:AlternateContent>
  <xr:revisionPtr revIDLastSave="0" documentId="13_ncr:1_{D3BBAD9A-FC36-4F9C-AE22-63F972E9D993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TA Needs Planning" sheetId="1" r:id="rId1"/>
    <sheet name="COMP TA List" sheetId="2" r:id="rId2"/>
  </sheets>
  <definedNames>
    <definedName name="_xlnm._FilterDatabase" localSheetId="1" hidden="1">'COMP TA List'!$A$1:$K$14</definedName>
    <definedName name="_xlnm._FilterDatabase" localSheetId="0" hidden="1">'TA Needs Planning'!$A$1:$K$22</definedName>
    <definedName name="Z_69DFC969_D209_45BD_997D_402B5792938D_.wvu.FilterData" localSheetId="0" hidden="1">'TA Needs Planning'!$A$1:$Z$22</definedName>
    <definedName name="Z_7EF94C82_23D6_446A_8F5A_E40C593795C5_.wvu.FilterData" localSheetId="0" hidden="1">'TA Needs Planning'!$A$1:$Z$22</definedName>
  </definedNames>
  <calcPr calcId="191029"/>
  <customWorkbookViews>
    <customWorkbookView name="Filtre 2" guid="{7EF94C82-23D6-446A-8F5A-E40C593795C5}" maximized="1" windowWidth="0" windowHeight="0" activeSheetId="0"/>
    <customWorkbookView name="Filtre 1" guid="{69DFC969-D209-45BD-997D-402B5792938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2" i="1"/>
  <c r="E4" i="1"/>
  <c r="E2" i="1"/>
</calcChain>
</file>

<file path=xl/sharedStrings.xml><?xml version="1.0" encoding="utf-8"?>
<sst xmlns="http://schemas.openxmlformats.org/spreadsheetml/2006/main" count="194" uniqueCount="121">
  <si>
    <t>PS/Lab Sections</t>
  </si>
  <si>
    <t xml:space="preserve"># of Std. Planned </t>
  </si>
  <si>
    <t>Assigned TAs 
in Spring 2024</t>
  </si>
  <si>
    <t>Assigned TAs for Spring 2025 (number)</t>
  </si>
  <si>
    <t>Assigned TAs for Spring 2025 (names)</t>
  </si>
  <si>
    <t xml:space="preserve">Preferred TAs (or requirements) </t>
  </si>
  <si>
    <t>COMP 100</t>
  </si>
  <si>
    <t>Sajit Rao</t>
  </si>
  <si>
    <t>2 Sec. + 2 Lab.</t>
  </si>
  <si>
    <t>COMP 106</t>
  </si>
  <si>
    <t>Yücel Yemez</t>
  </si>
  <si>
    <t>1 PS</t>
  </si>
  <si>
    <t>COMP 132</t>
  </si>
  <si>
    <t>Öznur Özkasap, Attila Gürsoy</t>
  </si>
  <si>
    <t>3 Sec. + 3 Lab.</t>
  </si>
  <si>
    <t>COMP 201</t>
  </si>
  <si>
    <t>Aykut Erdem</t>
  </si>
  <si>
    <t>2 Lab.</t>
  </si>
  <si>
    <t>COMP 202</t>
  </si>
  <si>
    <t>Alptekin Küpçü</t>
  </si>
  <si>
    <t>COMP 301</t>
  </si>
  <si>
    <t>Deniz Yuret</t>
  </si>
  <si>
    <t>1 Lab.</t>
  </si>
  <si>
    <t>COMP 302</t>
  </si>
  <si>
    <t>Hakan Ayral</t>
  </si>
  <si>
    <t>Abdalfatah Rashid Safa, Tamta Kapanadze, Ehsan Barkhordar, Yiğit Fatih Çakıllı</t>
  </si>
  <si>
    <t>Abdalfatah Rashid Safa, Tamta Kapanadze, Ehsan Barkhordar, +1</t>
  </si>
  <si>
    <t>COMP 304</t>
  </si>
  <si>
    <t>COMP 305</t>
  </si>
  <si>
    <t>COMP 306</t>
  </si>
  <si>
    <t>Ali Erkan</t>
  </si>
  <si>
    <t>2 PS</t>
  </si>
  <si>
    <t>COMP 319A</t>
  </si>
  <si>
    <t>2 Sec.</t>
  </si>
  <si>
    <t>COMP 341</t>
  </si>
  <si>
    <t>Barış Akgün</t>
  </si>
  <si>
    <t>COMP 410/510</t>
  </si>
  <si>
    <t>40+</t>
  </si>
  <si>
    <t>COMP 423/523</t>
  </si>
  <si>
    <t>Fatma Güney</t>
  </si>
  <si>
    <t>8+</t>
  </si>
  <si>
    <t>Görkay Aydemir</t>
  </si>
  <si>
    <t>Gorkay Aydemir</t>
  </si>
  <si>
    <t>COMP 430/530</t>
  </si>
  <si>
    <t>56+</t>
  </si>
  <si>
    <t>Emirhan Delen, Ayten Dilara Yavuz</t>
  </si>
  <si>
    <t>COMP 434/534</t>
  </si>
  <si>
    <t>34+</t>
  </si>
  <si>
    <t>COMP 438/538</t>
  </si>
  <si>
    <t>23+1</t>
  </si>
  <si>
    <t>COMP 447/547</t>
  </si>
  <si>
    <t>29+</t>
  </si>
  <si>
    <t>COMP 448/548</t>
  </si>
  <si>
    <t>Çiğdem Gündüz Demir</t>
  </si>
  <si>
    <t>24+</t>
  </si>
  <si>
    <t>COMP 450/550</t>
  </si>
  <si>
    <t>7+</t>
  </si>
  <si>
    <t>COMP 491</t>
  </si>
  <si>
    <t>Mehmet Emre Gürsoy</t>
  </si>
  <si>
    <t>KUSIS ID</t>
  </si>
  <si>
    <t>NAME</t>
  </si>
  <si>
    <t>PROGRAM</t>
  </si>
  <si>
    <t>MS/PhD</t>
  </si>
  <si>
    <t>BACKGROUND</t>
  </si>
  <si>
    <t>ADMIT TERM</t>
  </si>
  <si>
    <t>STANDING</t>
  </si>
  <si>
    <t>THESIS ADVISOR</t>
  </si>
  <si>
    <t>NOTES</t>
  </si>
  <si>
    <t>BS SCHOOL/PROGRAM</t>
  </si>
  <si>
    <t>MS SCHOOL/PROGRAM</t>
  </si>
  <si>
    <t>PhD</t>
  </si>
  <si>
    <t>Direct PhD</t>
  </si>
  <si>
    <t>-</t>
  </si>
  <si>
    <t>MS</t>
  </si>
  <si>
    <t>2024 Fall</t>
  </si>
  <si>
    <t>BS</t>
  </si>
  <si>
    <t>2025 Spring</t>
  </si>
  <si>
    <t>COMP</t>
  </si>
  <si>
    <t>2023 Fall</t>
  </si>
  <si>
    <t>Didem Unat</t>
  </si>
  <si>
    <t>Koç University/Computer Engineering</t>
  </si>
  <si>
    <t>Sadra Safadoust</t>
  </si>
  <si>
    <t>2022 Fall</t>
  </si>
  <si>
    <t xml:space="preserve">Fatma Güney </t>
  </si>
  <si>
    <t xml:space="preserve">SHARIF UNIVERSITY/Computer Engineering </t>
  </si>
  <si>
    <t>Koç Üniversitesi/COMP</t>
  </si>
  <si>
    <t>Shadi Hamdan</t>
  </si>
  <si>
    <t xml:space="preserve">KU / COMP </t>
  </si>
  <si>
    <t>METU/Computer Engineering</t>
  </si>
  <si>
    <t>Berkay Kemal Balioğlu</t>
  </si>
  <si>
    <t>ODTÜ/Mathematics</t>
  </si>
  <si>
    <t>Hosein Madadi Tamar</t>
  </si>
  <si>
    <t>Emre Gürsoy</t>
  </si>
  <si>
    <t>University of Tabriz/COMP</t>
  </si>
  <si>
    <t>Koç Univ./COMP</t>
  </si>
  <si>
    <t>Metin Sezgin</t>
  </si>
  <si>
    <t>Alireza Khodaie</t>
  </si>
  <si>
    <t>Doğa Kukul</t>
  </si>
  <si>
    <t>Emre Düzakın</t>
  </si>
  <si>
    <t>Koç University/COMP&amp;ELEC</t>
  </si>
  <si>
    <t>Emirhan Delen</t>
  </si>
  <si>
    <t>Emre Gürsoy, Erdem Yörük</t>
  </si>
  <si>
    <t>Istanbul Technical University/Computer Engineering</t>
  </si>
  <si>
    <t>2024 Spring</t>
  </si>
  <si>
    <t>Berk Coşar</t>
  </si>
  <si>
    <t>Koç/MECH&amp;COMP</t>
  </si>
  <si>
    <t>Semih Erken</t>
  </si>
  <si>
    <t>YILDIZ TEKNİK ÜNİVERSİTESİ/COMP</t>
  </si>
  <si>
    <t>Ayten Dilara Yavuz</t>
  </si>
  <si>
    <t>Barış Sarper Tezcan</t>
  </si>
  <si>
    <t>ODTÜ/Computer Engineering&amp;MATH</t>
  </si>
  <si>
    <t>Koc University/COMP</t>
  </si>
  <si>
    <t>Faculty</t>
  </si>
  <si>
    <t>Course</t>
  </si>
  <si>
    <t xml:space="preserve">
Number of TAs requested for Spring 2025</t>
  </si>
  <si>
    <t>Actual Enrollment</t>
  </si>
  <si>
    <t>Enrollment Capacity</t>
  </si>
  <si>
    <t>Must be very experienced in Python</t>
  </si>
  <si>
    <t>must be experienced in mobile development</t>
  </si>
  <si>
    <t>İsim1, isim2, isim3</t>
  </si>
  <si>
    <t>İsim1, isim2, isim3, isim4, 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</si>
</sst>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\.m"/>
  </numFmts>
  <fonts count="20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rgb="FF0000FF"/>
      <name val="Arial"/>
    </font>
    <font>
      <b/>
      <sz val="12"/>
      <color rgb="FFFF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&quot;Arial&quot;"/>
    </font>
    <font>
      <sz val="10"/>
      <color rgb="FF000000"/>
      <name val="&quot;Arial&quot;"/>
    </font>
    <font>
      <sz val="10"/>
      <color theme="1"/>
      <name val="Arial"/>
    </font>
    <font>
      <sz val="10"/>
      <color rgb="FF000000"/>
      <name val="Arial"/>
      <scheme val="minor"/>
    </font>
    <font>
      <sz val="11"/>
      <color theme="1"/>
      <name val="Calibri"/>
    </font>
    <font>
      <sz val="10"/>
      <color rgb="FF000000"/>
      <name val="&quot;Arial&quot;"/>
    </font>
    <font>
      <b/>
      <sz val="10"/>
      <color rgb="FFFF0000"/>
      <name val="Arial"/>
      <scheme val="minor"/>
    </font>
    <font>
      <sz val="10"/>
      <color rgb="FF000000"/>
      <name val="Arial"/>
    </font>
    <font>
      <b/>
      <sz val="8"/>
      <color rgb="FFFF0000"/>
      <name val="Arial"/>
    </font>
    <font>
      <sz val="8"/>
      <color theme="1"/>
      <name val="Arial"/>
    </font>
    <font>
      <sz val="10"/>
      <color theme="1"/>
      <name val="Calibri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E6B8B7"/>
        <bgColor rgb="FFE6B8B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0" xfId="0" applyFont="1"/>
    <xf numFmtId="0" fontId="5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5" fillId="5" borderId="1" xfId="0" applyFont="1" applyFill="1" applyBorder="1"/>
    <xf numFmtId="0" fontId="6" fillId="5" borderId="1" xfId="0" applyFont="1" applyFill="1" applyBorder="1" applyAlignment="1">
      <alignment wrapText="1"/>
    </xf>
    <xf numFmtId="3" fontId="7" fillId="5" borderId="1" xfId="0" applyNumberFormat="1" applyFont="1" applyFill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wrapText="1"/>
    </xf>
    <xf numFmtId="3" fontId="5" fillId="4" borderId="1" xfId="0" applyNumberFormat="1" applyFont="1" applyFill="1" applyBorder="1"/>
    <xf numFmtId="0" fontId="10" fillId="4" borderId="1" xfId="0" applyFont="1" applyFill="1" applyBorder="1" applyAlignment="1">
      <alignment wrapText="1"/>
    </xf>
    <xf numFmtId="0" fontId="11" fillId="5" borderId="1" xfId="0" applyFont="1" applyFill="1" applyBorder="1"/>
    <xf numFmtId="0" fontId="10" fillId="5" borderId="1" xfId="0" applyFont="1" applyFill="1" applyBorder="1" applyAlignment="1">
      <alignment wrapText="1"/>
    </xf>
    <xf numFmtId="0" fontId="11" fillId="4" borderId="1" xfId="0" applyFont="1" applyFill="1" applyBorder="1"/>
    <xf numFmtId="3" fontId="7" fillId="4" borderId="1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wrapText="1"/>
    </xf>
    <xf numFmtId="1" fontId="7" fillId="4" borderId="1" xfId="0" applyNumberFormat="1" applyFont="1" applyFill="1" applyBorder="1" applyAlignment="1">
      <alignment horizontal="right"/>
    </xf>
    <xf numFmtId="1" fontId="5" fillId="5" borderId="1" xfId="0" applyNumberFormat="1" applyFont="1" applyFill="1" applyBorder="1"/>
    <xf numFmtId="3" fontId="5" fillId="5" borderId="1" xfId="0" applyNumberFormat="1" applyFont="1" applyFill="1" applyBorder="1"/>
    <xf numFmtId="0" fontId="5" fillId="5" borderId="1" xfId="0" applyFont="1" applyFill="1" applyBorder="1" applyAlignment="1">
      <alignment wrapText="1"/>
    </xf>
    <xf numFmtId="1" fontId="5" fillId="4" borderId="1" xfId="0" applyNumberFormat="1" applyFont="1" applyFill="1" applyBorder="1"/>
    <xf numFmtId="0" fontId="12" fillId="5" borderId="1" xfId="0" applyFont="1" applyFill="1" applyBorder="1" applyAlignment="1">
      <alignment wrapText="1"/>
    </xf>
    <xf numFmtId="0" fontId="8" fillId="5" borderId="1" xfId="0" applyFont="1" applyFill="1" applyBorder="1"/>
    <xf numFmtId="0" fontId="13" fillId="5" borderId="0" xfId="0" applyFont="1" applyFill="1" applyAlignment="1">
      <alignment wrapText="1"/>
    </xf>
    <xf numFmtId="0" fontId="14" fillId="0" borderId="0" xfId="0" applyFont="1"/>
    <xf numFmtId="3" fontId="11" fillId="4" borderId="1" xfId="0" applyNumberFormat="1" applyFont="1" applyFill="1" applyBorder="1"/>
    <xf numFmtId="0" fontId="9" fillId="4" borderId="1" xfId="0" applyFont="1" applyFill="1" applyBorder="1"/>
    <xf numFmtId="3" fontId="11" fillId="5" borderId="1" xfId="0" applyNumberFormat="1" applyFont="1" applyFill="1" applyBorder="1"/>
    <xf numFmtId="0" fontId="9" fillId="5" borderId="1" xfId="0" applyFont="1" applyFill="1" applyBorder="1"/>
    <xf numFmtId="165" fontId="9" fillId="5" borderId="1" xfId="0" applyNumberFormat="1" applyFont="1" applyFill="1" applyBorder="1"/>
    <xf numFmtId="0" fontId="15" fillId="4" borderId="1" xfId="0" applyFont="1" applyFill="1" applyBorder="1"/>
    <xf numFmtId="0" fontId="5" fillId="5" borderId="0" xfId="0" applyFont="1" applyFill="1"/>
    <xf numFmtId="165" fontId="9" fillId="4" borderId="1" xfId="0" applyNumberFormat="1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164" fontId="5" fillId="4" borderId="1" xfId="0" applyNumberFormat="1" applyFont="1" applyFill="1" applyBorder="1"/>
    <xf numFmtId="0" fontId="9" fillId="4" borderId="1" xfId="0" applyFont="1" applyFill="1" applyBorder="1" applyAlignment="1">
      <alignment horizontal="right" wrapText="1"/>
    </xf>
    <xf numFmtId="0" fontId="16" fillId="0" borderId="1" xfId="0" applyFont="1" applyBorder="1" applyAlignment="1">
      <alignment horizontal="center"/>
    </xf>
    <xf numFmtId="0" fontId="16" fillId="0" borderId="2" xfId="0" applyFont="1" applyBorder="1"/>
    <xf numFmtId="0" fontId="16" fillId="0" borderId="2" xfId="0" applyFont="1" applyBorder="1" applyAlignment="1">
      <alignment horizontal="left"/>
    </xf>
    <xf numFmtId="0" fontId="16" fillId="6" borderId="1" xfId="0" applyFont="1" applyFill="1" applyBorder="1"/>
    <xf numFmtId="0" fontId="16" fillId="7" borderId="1" xfId="0" applyFont="1" applyFill="1" applyBorder="1" applyAlignment="1">
      <alignment wrapText="1"/>
    </xf>
    <xf numFmtId="0" fontId="19" fillId="0" borderId="0" xfId="0" applyFont="1"/>
    <xf numFmtId="0" fontId="9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17" fillId="0" borderId="1" xfId="0" quotePrefix="1" applyFont="1" applyBorder="1" applyAlignment="1">
      <alignment horizontal="center"/>
    </xf>
    <xf numFmtId="0" fontId="17" fillId="0" borderId="1" xfId="0" applyFont="1" applyBorder="1"/>
    <xf numFmtId="1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horizontal="center"/>
    </xf>
    <xf numFmtId="0" fontId="18" fillId="0" borderId="1" xfId="0" applyFont="1" applyBorder="1"/>
    <xf numFmtId="0" fontId="17" fillId="0" borderId="1" xfId="0" quotePrefix="1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"/>
  <sheetViews>
    <sheetView workbookViewId="0">
      <pane ySplit="1" topLeftCell="A10" activePane="bottomLeft" state="frozen"/>
      <selection pane="bottomLeft" activeCell="K5" sqref="K5"/>
    </sheetView>
  </sheetViews>
  <sheetFormatPr defaultColWidth="12.6640625" defaultRowHeight="15.75" customHeight="1"/>
  <cols>
    <col min="1" max="1" width="13.5546875" bestFit="1" customWidth="1"/>
    <col min="2" max="2" width="26.5546875" customWidth="1"/>
    <col min="3" max="3" width="19.5546875" bestFit="1" customWidth="1"/>
    <col min="4" max="4" width="11.6640625" hidden="1" customWidth="1"/>
    <col min="5" max="5" width="13.88671875" bestFit="1" customWidth="1"/>
    <col min="6" max="6" width="11.88671875" customWidth="1"/>
    <col min="7" max="7" width="12.33203125" bestFit="1" customWidth="1"/>
    <col min="8" max="8" width="13.44140625" bestFit="1" customWidth="1"/>
    <col min="9" max="9" width="13.21875" customWidth="1"/>
    <col min="10" max="10" width="24.88671875" customWidth="1"/>
    <col min="11" max="11" width="51.109375" customWidth="1"/>
  </cols>
  <sheetData>
    <row r="1" spans="1:26" ht="81.599999999999994" customHeight="1">
      <c r="A1" s="1" t="s">
        <v>113</v>
      </c>
      <c r="B1" s="2" t="s">
        <v>112</v>
      </c>
      <c r="C1" s="2" t="s">
        <v>0</v>
      </c>
      <c r="D1" s="3" t="s">
        <v>1</v>
      </c>
      <c r="E1" s="3" t="s">
        <v>116</v>
      </c>
      <c r="F1" s="1" t="s">
        <v>115</v>
      </c>
      <c r="G1" s="3" t="s">
        <v>2</v>
      </c>
      <c r="H1" s="4" t="s">
        <v>114</v>
      </c>
      <c r="I1" s="5" t="s">
        <v>3</v>
      </c>
      <c r="J1" s="6" t="s">
        <v>4</v>
      </c>
      <c r="K1" s="4" t="s">
        <v>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0" customHeight="1">
      <c r="A2" s="8" t="s">
        <v>6</v>
      </c>
      <c r="B2" s="9" t="s">
        <v>7</v>
      </c>
      <c r="C2" s="8" t="s">
        <v>8</v>
      </c>
      <c r="D2" s="10">
        <v>25</v>
      </c>
      <c r="E2" s="10">
        <f>40+40</f>
        <v>80</v>
      </c>
      <c r="F2" s="8"/>
      <c r="G2" s="10"/>
      <c r="H2" s="11">
        <v>3</v>
      </c>
      <c r="I2" s="11"/>
      <c r="J2" s="51"/>
      <c r="K2" s="12" t="s">
        <v>117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" customHeight="1">
      <c r="A3" s="13" t="s">
        <v>9</v>
      </c>
      <c r="B3" s="14" t="s">
        <v>10</v>
      </c>
      <c r="C3" s="13" t="s">
        <v>11</v>
      </c>
      <c r="D3" s="15">
        <v>32</v>
      </c>
      <c r="E3" s="15">
        <v>90</v>
      </c>
      <c r="F3" s="13"/>
      <c r="G3" s="16"/>
      <c r="H3" s="17">
        <v>3</v>
      </c>
      <c r="I3" s="17"/>
      <c r="J3" s="17"/>
      <c r="K3" s="17" t="s">
        <v>119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1.2" customHeight="1">
      <c r="A4" s="13" t="s">
        <v>12</v>
      </c>
      <c r="B4" s="14" t="s">
        <v>13</v>
      </c>
      <c r="C4" s="20" t="s">
        <v>14</v>
      </c>
      <c r="D4" s="15">
        <v>35</v>
      </c>
      <c r="E4" s="15">
        <f>60+60+60</f>
        <v>180</v>
      </c>
      <c r="F4" s="13"/>
      <c r="G4" s="15"/>
      <c r="H4" s="21">
        <v>6</v>
      </c>
      <c r="I4" s="21"/>
      <c r="J4" s="17"/>
      <c r="K4" s="17" t="s">
        <v>120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3.6" customHeight="1">
      <c r="A5" s="8" t="s">
        <v>15</v>
      </c>
      <c r="B5" s="9" t="s">
        <v>16</v>
      </c>
      <c r="C5" s="22" t="s">
        <v>17</v>
      </c>
      <c r="D5" s="10">
        <v>89</v>
      </c>
      <c r="E5" s="10">
        <v>100</v>
      </c>
      <c r="F5" s="8"/>
      <c r="G5" s="23"/>
      <c r="H5" s="19">
        <v>5</v>
      </c>
      <c r="I5" s="19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>
      <c r="A6" s="13" t="s">
        <v>18</v>
      </c>
      <c r="B6" s="14" t="s">
        <v>19</v>
      </c>
      <c r="C6" s="13"/>
      <c r="D6" s="15">
        <v>82</v>
      </c>
      <c r="E6" s="15">
        <v>130</v>
      </c>
      <c r="F6" s="13"/>
      <c r="G6" s="15"/>
      <c r="H6" s="24">
        <v>3</v>
      </c>
      <c r="I6" s="24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7" customHeight="1">
      <c r="A7" s="8" t="s">
        <v>20</v>
      </c>
      <c r="B7" s="9" t="s">
        <v>21</v>
      </c>
      <c r="C7" s="19" t="s">
        <v>22</v>
      </c>
      <c r="D7" s="10">
        <v>62</v>
      </c>
      <c r="E7" s="10">
        <v>100</v>
      </c>
      <c r="F7" s="8"/>
      <c r="G7" s="23"/>
      <c r="H7" s="11">
        <v>3</v>
      </c>
      <c r="I7" s="11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8.6" customHeight="1">
      <c r="A8" s="13" t="s">
        <v>23</v>
      </c>
      <c r="B8" s="14" t="s">
        <v>24</v>
      </c>
      <c r="C8" s="13"/>
      <c r="D8" s="15">
        <v>48</v>
      </c>
      <c r="E8" s="15">
        <v>80</v>
      </c>
      <c r="F8" s="13"/>
      <c r="G8" s="15"/>
      <c r="H8" s="17">
        <v>4</v>
      </c>
      <c r="I8" s="17">
        <v>4</v>
      </c>
      <c r="J8" s="17" t="s">
        <v>25</v>
      </c>
      <c r="K8" s="17" t="s">
        <v>26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3" customHeight="1">
      <c r="A9" s="8" t="s">
        <v>27</v>
      </c>
      <c r="B9" s="9" t="s">
        <v>24</v>
      </c>
      <c r="C9" s="8" t="s">
        <v>11</v>
      </c>
      <c r="D9" s="25">
        <v>95</v>
      </c>
      <c r="E9" s="25">
        <v>90</v>
      </c>
      <c r="F9" s="8"/>
      <c r="G9" s="23"/>
      <c r="H9" s="19">
        <v>3</v>
      </c>
      <c r="I9" s="19"/>
      <c r="J9" s="19"/>
      <c r="K9" s="12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2.4" customHeight="1">
      <c r="A10" s="13" t="s">
        <v>28</v>
      </c>
      <c r="B10" s="14" t="s">
        <v>21</v>
      </c>
      <c r="C10" s="13"/>
      <c r="D10" s="26">
        <v>87</v>
      </c>
      <c r="E10" s="26">
        <v>90</v>
      </c>
      <c r="F10" s="13"/>
      <c r="G10" s="27"/>
      <c r="H10" s="28">
        <v>3</v>
      </c>
      <c r="I10" s="28"/>
      <c r="J10" s="17"/>
      <c r="K10" s="1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6" customHeight="1">
      <c r="A11" s="8" t="s">
        <v>29</v>
      </c>
      <c r="B11" s="9" t="s">
        <v>30</v>
      </c>
      <c r="C11" s="8" t="s">
        <v>31</v>
      </c>
      <c r="D11" s="29">
        <v>48</v>
      </c>
      <c r="E11" s="29">
        <v>90</v>
      </c>
      <c r="F11" s="8"/>
      <c r="G11" s="8"/>
      <c r="H11" s="12"/>
      <c r="I11" s="12"/>
      <c r="J11" s="12"/>
      <c r="K11" s="1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>
      <c r="A12" s="13" t="s">
        <v>32</v>
      </c>
      <c r="B12" s="30" t="s">
        <v>24</v>
      </c>
      <c r="C12" s="13" t="s">
        <v>33</v>
      </c>
      <c r="D12" s="26">
        <v>63</v>
      </c>
      <c r="E12" s="26">
        <f>30+30</f>
        <v>60</v>
      </c>
      <c r="F12" s="13"/>
      <c r="G12" s="27"/>
      <c r="H12" s="31">
        <v>1</v>
      </c>
      <c r="I12" s="31"/>
      <c r="J12" s="32"/>
      <c r="K12" s="24" t="s">
        <v>118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1.2" customHeight="1">
      <c r="A13" s="8" t="s">
        <v>34</v>
      </c>
      <c r="B13" s="9" t="s">
        <v>35</v>
      </c>
      <c r="C13" s="8"/>
      <c r="D13" s="34">
        <v>109</v>
      </c>
      <c r="E13" s="34">
        <v>90</v>
      </c>
      <c r="F13" s="8"/>
      <c r="G13" s="34"/>
      <c r="H13" s="35">
        <v>3</v>
      </c>
      <c r="I13" s="35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" customHeight="1">
      <c r="A14" s="13" t="s">
        <v>36</v>
      </c>
      <c r="B14" s="14" t="s">
        <v>10</v>
      </c>
      <c r="C14" s="13"/>
      <c r="D14" s="36" t="s">
        <v>37</v>
      </c>
      <c r="E14" s="36">
        <f>40+20</f>
        <v>60</v>
      </c>
      <c r="F14" s="13"/>
      <c r="G14" s="36"/>
      <c r="H14" s="37"/>
      <c r="I14" s="38"/>
      <c r="J14" s="32"/>
      <c r="K14" s="1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2.8" customHeight="1">
      <c r="A15" s="8" t="s">
        <v>38</v>
      </c>
      <c r="B15" s="9" t="s">
        <v>39</v>
      </c>
      <c r="C15" s="8"/>
      <c r="D15" s="18" t="s">
        <v>40</v>
      </c>
      <c r="E15" s="18">
        <f>20+20</f>
        <v>40</v>
      </c>
      <c r="F15" s="8"/>
      <c r="G15" s="18"/>
      <c r="H15" s="39">
        <v>1</v>
      </c>
      <c r="I15" s="39">
        <v>1</v>
      </c>
      <c r="J15" s="12" t="s">
        <v>41</v>
      </c>
      <c r="K15" s="12" t="s">
        <v>42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7">
      <c r="A16" s="13" t="s">
        <v>43</v>
      </c>
      <c r="B16" s="14" t="s">
        <v>92</v>
      </c>
      <c r="C16" s="13"/>
      <c r="D16" s="27" t="s">
        <v>44</v>
      </c>
      <c r="E16" s="27">
        <f>30+20</f>
        <v>50</v>
      </c>
      <c r="F16" s="13"/>
      <c r="G16" s="27"/>
      <c r="H16" s="21">
        <v>2</v>
      </c>
      <c r="I16" s="21">
        <v>2</v>
      </c>
      <c r="J16" s="17" t="s">
        <v>45</v>
      </c>
      <c r="K16" s="17" t="s">
        <v>45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8.8" customHeight="1">
      <c r="A17" s="8" t="s">
        <v>46</v>
      </c>
      <c r="B17" s="9" t="s">
        <v>19</v>
      </c>
      <c r="C17" s="8"/>
      <c r="D17" s="18" t="s">
        <v>47</v>
      </c>
      <c r="E17" s="18">
        <f>40+20</f>
        <v>60</v>
      </c>
      <c r="F17" s="8"/>
      <c r="G17" s="18"/>
      <c r="H17" s="19">
        <v>2</v>
      </c>
      <c r="I17" s="19"/>
      <c r="J17" s="12"/>
      <c r="K17" s="1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8.2" customHeight="1">
      <c r="A18" s="13" t="s">
        <v>48</v>
      </c>
      <c r="B18" s="14" t="s">
        <v>35</v>
      </c>
      <c r="C18" s="13"/>
      <c r="D18" s="27" t="s">
        <v>49</v>
      </c>
      <c r="E18" s="27">
        <f>30+30</f>
        <v>60</v>
      </c>
      <c r="F18" s="13"/>
      <c r="G18" s="27"/>
      <c r="H18" s="21"/>
      <c r="I18" s="21"/>
      <c r="J18" s="17"/>
      <c r="K18" s="4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4" customHeight="1">
      <c r="A19" s="8" t="s">
        <v>50</v>
      </c>
      <c r="B19" s="9" t="s">
        <v>16</v>
      </c>
      <c r="C19" s="8" t="s">
        <v>11</v>
      </c>
      <c r="D19" s="18" t="s">
        <v>51</v>
      </c>
      <c r="E19" s="18">
        <f>20+20</f>
        <v>40</v>
      </c>
      <c r="F19" s="8"/>
      <c r="G19" s="18"/>
      <c r="H19" s="12">
        <v>2</v>
      </c>
      <c r="I19" s="41"/>
      <c r="J19" s="12"/>
      <c r="K19" s="1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7.6" customHeight="1">
      <c r="A20" s="13" t="s">
        <v>52</v>
      </c>
      <c r="B20" s="14" t="s">
        <v>53</v>
      </c>
      <c r="C20" s="13"/>
      <c r="D20" s="27" t="s">
        <v>54</v>
      </c>
      <c r="E20" s="27">
        <f>35+30</f>
        <v>65</v>
      </c>
      <c r="F20" s="13"/>
      <c r="G20" s="27"/>
      <c r="H20" s="17">
        <v>2</v>
      </c>
      <c r="I20" s="17"/>
      <c r="J20" s="17"/>
      <c r="K20" s="1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2.8" customHeight="1">
      <c r="A21" s="8" t="s">
        <v>55</v>
      </c>
      <c r="B21" s="42" t="s">
        <v>7</v>
      </c>
      <c r="C21" s="8"/>
      <c r="D21" s="18" t="s">
        <v>56</v>
      </c>
      <c r="E21" s="18">
        <f>10+10</f>
        <v>20</v>
      </c>
      <c r="F21" s="8"/>
      <c r="G21" s="43"/>
      <c r="H21" s="12"/>
      <c r="I21" s="44"/>
      <c r="J21" s="52"/>
      <c r="K21" s="1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2" customHeight="1">
      <c r="A22" s="13" t="s">
        <v>57</v>
      </c>
      <c r="B22" s="14" t="s">
        <v>53</v>
      </c>
      <c r="C22" s="13"/>
      <c r="D22" s="27">
        <v>56</v>
      </c>
      <c r="E22" s="27">
        <v>90</v>
      </c>
      <c r="F22" s="13"/>
      <c r="G22" s="27"/>
      <c r="H22" s="17">
        <v>4</v>
      </c>
      <c r="I22" s="17"/>
      <c r="J22" s="17"/>
      <c r="K22" s="1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</sheetData>
  <autoFilter ref="A1:K22" xr:uid="{00000000-0009-0000-0000-000000000000}"/>
  <customSheetViews>
    <customSheetView guid="{69DFC969-D209-45BD-997D-402B5792938D}" filter="1" showAutoFilter="1">
      <pageMargins left="0.7" right="0.7" top="0.75" bottom="0.75" header="0.3" footer="0.3"/>
      <autoFilter ref="A1:Z996" xr:uid="{6FF6FE9F-3AF5-4DA9-AF0E-1E23ECD15A1B}">
        <filterColumn colId="1">
          <filters>
            <filter val="Ali Erkan"/>
            <filter val="Alptekin Küpçü"/>
            <filter val="Aykut Erdem"/>
            <filter val="Barış Akgün"/>
            <filter val="Beren Semiz, Mehmet Sayar"/>
            <filter val="Çiğdem Gündüz Demir"/>
            <filter val="Deniz Yuret"/>
            <filter val="Emre Kütükoğlu, Buket Yüksel, Yasemin Türkan, Neslihan Gökmen İnan"/>
            <filter val="Eşref Ünsal"/>
            <filter val="Fatma Güney"/>
            <filter val="Hakan Ayral"/>
            <filter val="M.Emre Gürsoy"/>
            <filter val="Mehmet Emre Gürsoy"/>
            <filter val="Müge Gültekin Erzin"/>
            <filter val="Öznur Özkasap, Attila Gürsoy"/>
            <filter val="Sajit Rao"/>
            <filter val="Yücel Yemez"/>
          </filters>
        </filterColumn>
      </autoFilter>
    </customSheetView>
    <customSheetView guid="{7EF94C82-23D6-446A-8F5A-E40C593795C5}" filter="1" showAutoFilter="1">
      <pageMargins left="0.7" right="0.7" top="0.75" bottom="0.75" header="0.3" footer="0.3"/>
      <autoFilter ref="A1:Z996" xr:uid="{0A68C837-5C31-491B-B535-E605108B225C}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16"/>
  <sheetViews>
    <sheetView tabSelected="1" workbookViewId="0">
      <pane ySplit="1" topLeftCell="A2" activePane="bottomLeft" state="frozen"/>
      <selection pane="bottomLeft" activeCell="F25" sqref="F25"/>
    </sheetView>
  </sheetViews>
  <sheetFormatPr defaultColWidth="12.6640625" defaultRowHeight="15.75" customHeight="1"/>
  <cols>
    <col min="1" max="1" width="10" customWidth="1"/>
    <col min="2" max="2" width="22.109375" customWidth="1"/>
    <col min="3" max="3" width="9.77734375" customWidth="1"/>
    <col min="4" max="4" width="7.6640625" customWidth="1"/>
    <col min="6" max="6" width="10.6640625" customWidth="1"/>
    <col min="7" max="7" width="8.77734375" customWidth="1"/>
    <col min="8" max="8" width="29.109375" customWidth="1"/>
    <col min="9" max="9" width="10.6640625" customWidth="1"/>
    <col min="10" max="11" width="38.21875" customWidth="1"/>
  </cols>
  <sheetData>
    <row r="1" spans="1:11" ht="13.2">
      <c r="A1" s="45" t="s">
        <v>59</v>
      </c>
      <c r="B1" s="46" t="s">
        <v>60</v>
      </c>
      <c r="C1" s="46" t="s">
        <v>61</v>
      </c>
      <c r="D1" s="47" t="s">
        <v>62</v>
      </c>
      <c r="E1" s="46" t="s">
        <v>63</v>
      </c>
      <c r="F1" s="46" t="s">
        <v>64</v>
      </c>
      <c r="G1" s="46" t="s">
        <v>65</v>
      </c>
      <c r="H1" s="46" t="s">
        <v>66</v>
      </c>
      <c r="I1" s="48" t="s">
        <v>67</v>
      </c>
      <c r="J1" s="49" t="s">
        <v>68</v>
      </c>
      <c r="K1" s="49" t="s">
        <v>69</v>
      </c>
    </row>
    <row r="2" spans="1:11" ht="13.2">
      <c r="A2" s="53"/>
      <c r="B2" s="54" t="s">
        <v>81</v>
      </c>
      <c r="C2" s="54" t="s">
        <v>77</v>
      </c>
      <c r="D2" s="54" t="s">
        <v>70</v>
      </c>
      <c r="E2" s="54" t="s">
        <v>73</v>
      </c>
      <c r="F2" s="54" t="s">
        <v>82</v>
      </c>
      <c r="G2" s="55">
        <v>2.5</v>
      </c>
      <c r="H2" s="54" t="s">
        <v>83</v>
      </c>
      <c r="I2" s="56"/>
      <c r="J2" s="56" t="s">
        <v>84</v>
      </c>
      <c r="K2" s="56" t="s">
        <v>85</v>
      </c>
    </row>
    <row r="3" spans="1:11" ht="13.2">
      <c r="A3" s="53"/>
      <c r="B3" s="54" t="s">
        <v>86</v>
      </c>
      <c r="C3" s="54" t="s">
        <v>77</v>
      </c>
      <c r="D3" s="54" t="s">
        <v>70</v>
      </c>
      <c r="E3" s="54" t="s">
        <v>71</v>
      </c>
      <c r="F3" s="54" t="s">
        <v>82</v>
      </c>
      <c r="G3" s="55">
        <v>2.5</v>
      </c>
      <c r="H3" s="54" t="s">
        <v>39</v>
      </c>
      <c r="I3" s="56"/>
      <c r="J3" s="56" t="s">
        <v>87</v>
      </c>
      <c r="K3" s="56" t="s">
        <v>72</v>
      </c>
    </row>
    <row r="4" spans="1:11" ht="13.2">
      <c r="A4" s="57"/>
      <c r="B4" s="54" t="s">
        <v>41</v>
      </c>
      <c r="C4" s="54" t="s">
        <v>77</v>
      </c>
      <c r="D4" s="54" t="s">
        <v>70</v>
      </c>
      <c r="E4" s="54" t="s">
        <v>71</v>
      </c>
      <c r="F4" s="54" t="s">
        <v>78</v>
      </c>
      <c r="G4" s="55">
        <v>1.5</v>
      </c>
      <c r="H4" s="54" t="s">
        <v>39</v>
      </c>
      <c r="I4" s="56"/>
      <c r="J4" s="56" t="s">
        <v>88</v>
      </c>
      <c r="K4" s="56" t="s">
        <v>72</v>
      </c>
    </row>
    <row r="5" spans="1:11" ht="13.2">
      <c r="A5" s="57"/>
      <c r="B5" s="54" t="s">
        <v>89</v>
      </c>
      <c r="C5" s="54" t="s">
        <v>77</v>
      </c>
      <c r="D5" s="54" t="s">
        <v>70</v>
      </c>
      <c r="E5" s="54" t="s">
        <v>71</v>
      </c>
      <c r="F5" s="54" t="s">
        <v>78</v>
      </c>
      <c r="G5" s="55">
        <v>1.5</v>
      </c>
      <c r="H5" s="54" t="s">
        <v>58</v>
      </c>
      <c r="I5" s="56"/>
      <c r="J5" s="56" t="s">
        <v>90</v>
      </c>
      <c r="K5" s="56" t="s">
        <v>72</v>
      </c>
    </row>
    <row r="6" spans="1:11" ht="13.2">
      <c r="A6" s="53"/>
      <c r="B6" s="54" t="s">
        <v>91</v>
      </c>
      <c r="C6" s="54" t="s">
        <v>77</v>
      </c>
      <c r="D6" s="54" t="s">
        <v>70</v>
      </c>
      <c r="E6" s="54" t="s">
        <v>73</v>
      </c>
      <c r="F6" s="54" t="s">
        <v>74</v>
      </c>
      <c r="G6" s="55">
        <v>1</v>
      </c>
      <c r="H6" s="54" t="s">
        <v>92</v>
      </c>
      <c r="I6" s="56"/>
      <c r="J6" s="56" t="s">
        <v>93</v>
      </c>
      <c r="K6" s="56" t="s">
        <v>93</v>
      </c>
    </row>
    <row r="7" spans="1:11" ht="13.2">
      <c r="A7" s="57"/>
      <c r="B7" s="54" t="s">
        <v>97</v>
      </c>
      <c r="C7" s="54" t="s">
        <v>77</v>
      </c>
      <c r="D7" s="54" t="s">
        <v>73</v>
      </c>
      <c r="E7" s="54" t="s">
        <v>75</v>
      </c>
      <c r="F7" s="54" t="s">
        <v>78</v>
      </c>
      <c r="G7" s="55">
        <v>1.5</v>
      </c>
      <c r="H7" s="54" t="s">
        <v>16</v>
      </c>
      <c r="I7" s="56"/>
      <c r="J7" s="56" t="s">
        <v>80</v>
      </c>
      <c r="K7" s="56" t="s">
        <v>72</v>
      </c>
    </row>
    <row r="8" spans="1:11" ht="13.2">
      <c r="A8" s="57"/>
      <c r="B8" s="54" t="s">
        <v>98</v>
      </c>
      <c r="C8" s="54" t="s">
        <v>77</v>
      </c>
      <c r="D8" s="54" t="s">
        <v>73</v>
      </c>
      <c r="E8" s="54" t="s">
        <v>75</v>
      </c>
      <c r="F8" s="54" t="s">
        <v>78</v>
      </c>
      <c r="G8" s="55">
        <v>1.5</v>
      </c>
      <c r="H8" s="54" t="s">
        <v>79</v>
      </c>
      <c r="I8" s="56"/>
      <c r="J8" s="56" t="s">
        <v>99</v>
      </c>
      <c r="K8" s="56" t="s">
        <v>72</v>
      </c>
    </row>
    <row r="9" spans="1:11" ht="15.75" customHeight="1">
      <c r="A9" s="53"/>
      <c r="B9" s="54" t="s">
        <v>100</v>
      </c>
      <c r="C9" s="54" t="s">
        <v>77</v>
      </c>
      <c r="D9" s="54" t="s">
        <v>73</v>
      </c>
      <c r="E9" s="54" t="s">
        <v>75</v>
      </c>
      <c r="F9" s="54" t="s">
        <v>78</v>
      </c>
      <c r="G9" s="55">
        <v>1.5</v>
      </c>
      <c r="H9" s="56" t="s">
        <v>101</v>
      </c>
      <c r="I9" s="56"/>
      <c r="J9" s="56" t="s">
        <v>102</v>
      </c>
      <c r="K9" s="58"/>
    </row>
    <row r="10" spans="1:11" ht="13.2">
      <c r="A10" s="53"/>
      <c r="B10" s="54" t="s">
        <v>104</v>
      </c>
      <c r="C10" s="54" t="s">
        <v>77</v>
      </c>
      <c r="D10" s="54" t="s">
        <v>73</v>
      </c>
      <c r="E10" s="54" t="s">
        <v>75</v>
      </c>
      <c r="F10" s="54" t="s">
        <v>103</v>
      </c>
      <c r="G10" s="55">
        <v>1</v>
      </c>
      <c r="H10" s="54" t="s">
        <v>95</v>
      </c>
      <c r="I10" s="56"/>
      <c r="J10" s="56" t="s">
        <v>105</v>
      </c>
      <c r="K10" s="56" t="s">
        <v>72</v>
      </c>
    </row>
    <row r="11" spans="1:11" ht="13.2">
      <c r="A11" s="53"/>
      <c r="B11" s="54" t="s">
        <v>106</v>
      </c>
      <c r="C11" s="54" t="s">
        <v>77</v>
      </c>
      <c r="D11" s="54" t="s">
        <v>73</v>
      </c>
      <c r="E11" s="54" t="s">
        <v>75</v>
      </c>
      <c r="F11" s="54" t="s">
        <v>74</v>
      </c>
      <c r="G11" s="55">
        <v>1</v>
      </c>
      <c r="H11" s="54" t="s">
        <v>95</v>
      </c>
      <c r="I11" s="56"/>
      <c r="J11" s="56" t="s">
        <v>107</v>
      </c>
      <c r="K11" s="56" t="s">
        <v>72</v>
      </c>
    </row>
    <row r="12" spans="1:11" ht="13.2">
      <c r="A12" s="53"/>
      <c r="B12" s="54" t="s">
        <v>108</v>
      </c>
      <c r="C12" s="54" t="s">
        <v>77</v>
      </c>
      <c r="D12" s="54" t="s">
        <v>73</v>
      </c>
      <c r="E12" s="54" t="s">
        <v>75</v>
      </c>
      <c r="F12" s="54" t="s">
        <v>74</v>
      </c>
      <c r="G12" s="55">
        <v>1</v>
      </c>
      <c r="H12" s="54" t="s">
        <v>92</v>
      </c>
      <c r="I12" s="56"/>
      <c r="J12" s="56" t="s">
        <v>94</v>
      </c>
      <c r="K12" s="56" t="s">
        <v>72</v>
      </c>
    </row>
    <row r="13" spans="1:11" ht="13.2">
      <c r="A13" s="59"/>
      <c r="B13" s="54" t="s">
        <v>109</v>
      </c>
      <c r="C13" s="54" t="s">
        <v>77</v>
      </c>
      <c r="D13" s="54" t="s">
        <v>70</v>
      </c>
      <c r="E13" s="54" t="s">
        <v>71</v>
      </c>
      <c r="F13" s="54" t="s">
        <v>76</v>
      </c>
      <c r="G13" s="55">
        <v>1</v>
      </c>
      <c r="H13" s="54" t="s">
        <v>16</v>
      </c>
      <c r="I13" s="56"/>
      <c r="J13" s="56" t="s">
        <v>110</v>
      </c>
      <c r="K13" s="56" t="s">
        <v>72</v>
      </c>
    </row>
    <row r="14" spans="1:11" ht="13.2">
      <c r="A14" s="60"/>
      <c r="B14" s="54" t="s">
        <v>96</v>
      </c>
      <c r="C14" s="54" t="s">
        <v>77</v>
      </c>
      <c r="D14" s="54" t="s">
        <v>70</v>
      </c>
      <c r="E14" s="54" t="s">
        <v>73</v>
      </c>
      <c r="F14" s="54" t="s">
        <v>76</v>
      </c>
      <c r="G14" s="55">
        <v>1</v>
      </c>
      <c r="H14" s="54" t="s">
        <v>58</v>
      </c>
      <c r="I14" s="56"/>
      <c r="J14" s="56" t="s">
        <v>93</v>
      </c>
      <c r="K14" s="56" t="s">
        <v>111</v>
      </c>
    </row>
    <row r="15" spans="1:11" ht="15.7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</row>
    <row r="16" spans="1:11" ht="15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1" ht="15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</row>
    <row r="18" spans="1:11" ht="15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 spans="1:11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spans="1:11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spans="1:1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spans="1:11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spans="1:11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</row>
    <row r="24" spans="1:11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</row>
    <row r="25" spans="1:11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</row>
    <row r="26" spans="1:11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</row>
    <row r="27" spans="1:11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</row>
    <row r="28" spans="1:11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</row>
    <row r="29" spans="1:11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</row>
    <row r="30" spans="1:11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spans="1:1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</row>
    <row r="32" spans="1:11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</row>
    <row r="33" spans="1:11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spans="1:11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 spans="1:11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</row>
    <row r="37" spans="1:11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</row>
    <row r="38" spans="1:11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</row>
    <row r="39" spans="1:11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</row>
    <row r="41" spans="1:1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</row>
    <row r="42" spans="1:11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</row>
    <row r="44" spans="1:11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</row>
    <row r="45" spans="1:11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</row>
    <row r="46" spans="1:11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</row>
    <row r="47" spans="1:11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</row>
    <row r="48" spans="1:11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</row>
    <row r="49" spans="1:11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spans="1:11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</row>
    <row r="51" spans="1:1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</row>
    <row r="52" spans="1:11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</row>
    <row r="53" spans="1:11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</row>
    <row r="54" spans="1:11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</row>
    <row r="55" spans="1:11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</row>
    <row r="56" spans="1:11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spans="1:11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</row>
    <row r="58" spans="1:11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</row>
    <row r="59" spans="1:11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</row>
    <row r="60" spans="1:11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</row>
    <row r="61" spans="1:1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</row>
    <row r="62" spans="1:11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</row>
    <row r="63" spans="1:11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</row>
    <row r="64" spans="1:11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</row>
    <row r="65" spans="1:11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</row>
    <row r="66" spans="1:11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</row>
    <row r="67" spans="1:11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</row>
    <row r="68" spans="1:11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</row>
    <row r="69" spans="1:11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</row>
    <row r="70" spans="1:11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</row>
    <row r="71" spans="1:1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</row>
    <row r="72" spans="1:11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</row>
    <row r="73" spans="1:11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</row>
    <row r="74" spans="1:11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</row>
    <row r="75" spans="1:11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</row>
    <row r="76" spans="1:11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</row>
    <row r="77" spans="1:11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</row>
    <row r="78" spans="1:11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</row>
    <row r="79" spans="1:11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</row>
    <row r="80" spans="1:11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</row>
    <row r="81" spans="1:1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</row>
    <row r="82" spans="1:11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</row>
    <row r="83" spans="1:11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</row>
    <row r="84" spans="1:11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</row>
    <row r="85" spans="1:11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</row>
    <row r="86" spans="1:11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</row>
    <row r="87" spans="1:11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</row>
    <row r="88" spans="1:11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</row>
    <row r="89" spans="1:11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</row>
    <row r="90" spans="1:11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</row>
    <row r="91" spans="1:1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</row>
    <row r="92" spans="1:11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</row>
    <row r="93" spans="1:11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</row>
    <row r="94" spans="1:11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</row>
    <row r="95" spans="1:11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</row>
    <row r="96" spans="1:11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</row>
    <row r="97" spans="1:11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</row>
    <row r="98" spans="1:11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</row>
    <row r="99" spans="1:11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</row>
    <row r="100" spans="1:11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</row>
    <row r="101" spans="1:1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</row>
    <row r="102" spans="1:11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</row>
    <row r="103" spans="1:11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  <row r="104" spans="1:11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</row>
    <row r="105" spans="1:11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</row>
    <row r="106" spans="1:11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</row>
    <row r="107" spans="1:11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</row>
    <row r="108" spans="1:11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</row>
    <row r="109" spans="1:11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</row>
    <row r="110" spans="1:11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</row>
    <row r="111" spans="1: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</row>
    <row r="112" spans="1:11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</row>
    <row r="113" spans="1:11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</row>
    <row r="114" spans="1:11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</row>
    <row r="115" spans="1:11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</row>
    <row r="116" spans="1:11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</row>
    <row r="117" spans="1:11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</row>
    <row r="118" spans="1:11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</row>
    <row r="119" spans="1:11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</row>
    <row r="120" spans="1:11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</row>
    <row r="121" spans="1:1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</row>
    <row r="122" spans="1:11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</row>
    <row r="123" spans="1:11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</row>
    <row r="124" spans="1:11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</row>
    <row r="125" spans="1:11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</row>
    <row r="126" spans="1:11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</row>
    <row r="127" spans="1:11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</row>
    <row r="128" spans="1:11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</row>
    <row r="129" spans="1:11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</row>
    <row r="130" spans="1:11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</row>
    <row r="131" spans="1:1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</row>
    <row r="132" spans="1:11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</row>
    <row r="133" spans="1:11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</row>
    <row r="134" spans="1:11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</row>
    <row r="135" spans="1:11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</row>
    <row r="136" spans="1:11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</row>
    <row r="137" spans="1:11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</row>
    <row r="138" spans="1:11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</row>
    <row r="139" spans="1:11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</row>
    <row r="140" spans="1:11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</row>
    <row r="141" spans="1:1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</row>
    <row r="142" spans="1:11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</row>
    <row r="143" spans="1:11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</row>
    <row r="144" spans="1:11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</row>
    <row r="145" spans="1:11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</row>
    <row r="146" spans="1:11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</row>
    <row r="147" spans="1:11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</row>
    <row r="148" spans="1:11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</row>
    <row r="149" spans="1:11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</row>
    <row r="150" spans="1:11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</row>
    <row r="151" spans="1:1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</row>
    <row r="152" spans="1:11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</row>
    <row r="153" spans="1:11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</row>
    <row r="154" spans="1:11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</row>
    <row r="155" spans="1:11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</row>
    <row r="156" spans="1:11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</row>
    <row r="157" spans="1:11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</row>
    <row r="158" spans="1:11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</row>
    <row r="159" spans="1:11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</row>
    <row r="160" spans="1:11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</row>
    <row r="161" spans="1:1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</row>
    <row r="162" spans="1:11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</row>
    <row r="163" spans="1:11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</row>
    <row r="164" spans="1:11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</row>
    <row r="165" spans="1:11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</row>
    <row r="166" spans="1:11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</row>
    <row r="167" spans="1:11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</row>
    <row r="168" spans="1:11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</row>
    <row r="169" spans="1:11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</row>
    <row r="170" spans="1:11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</row>
    <row r="171" spans="1:1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</row>
    <row r="172" spans="1:11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</row>
    <row r="173" spans="1:11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</row>
    <row r="174" spans="1:11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</row>
    <row r="175" spans="1:11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</row>
    <row r="176" spans="1:11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</row>
    <row r="177" spans="1:11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</row>
    <row r="178" spans="1:11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</row>
    <row r="179" spans="1:11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</row>
    <row r="180" spans="1:11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</row>
    <row r="181" spans="1:1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</row>
    <row r="182" spans="1:11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</row>
    <row r="183" spans="1:11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</row>
    <row r="184" spans="1:11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</row>
    <row r="185" spans="1:11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</row>
    <row r="186" spans="1:11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</row>
    <row r="187" spans="1:11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</row>
    <row r="188" spans="1:11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</row>
    <row r="189" spans="1:11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</row>
    <row r="190" spans="1:11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</row>
    <row r="191" spans="1:1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</row>
    <row r="192" spans="1:11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</row>
    <row r="193" spans="1:11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</row>
    <row r="194" spans="1:11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</row>
    <row r="195" spans="1:11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</row>
    <row r="196" spans="1:11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</row>
    <row r="197" spans="1:11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</row>
    <row r="198" spans="1:11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</row>
    <row r="199" spans="1:11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</row>
    <row r="200" spans="1:11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</row>
    <row r="201" spans="1:1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</row>
    <row r="202" spans="1:11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</row>
    <row r="203" spans="1:11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</row>
    <row r="204" spans="1:11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</row>
    <row r="205" spans="1:11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</row>
    <row r="206" spans="1:11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</row>
    <row r="207" spans="1:11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</row>
    <row r="208" spans="1:11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</row>
    <row r="209" spans="1:11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</row>
    <row r="210" spans="1:11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</row>
    <row r="211" spans="1: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</row>
    <row r="212" spans="1:11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</row>
    <row r="213" spans="1:11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</row>
    <row r="214" spans="1:11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</row>
    <row r="215" spans="1:11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</row>
    <row r="216" spans="1:11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</row>
    <row r="217" spans="1:11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</row>
    <row r="218" spans="1:11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</row>
    <row r="219" spans="1:11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</row>
    <row r="220" spans="1:11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</row>
    <row r="221" spans="1:1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</row>
    <row r="222" spans="1:11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</row>
    <row r="223" spans="1:11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</row>
    <row r="224" spans="1:11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</row>
    <row r="225" spans="1:11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</row>
    <row r="226" spans="1:11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</row>
    <row r="227" spans="1:11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</row>
    <row r="228" spans="1:11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</row>
    <row r="229" spans="1:11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</row>
    <row r="230" spans="1:11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</row>
    <row r="231" spans="1:1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</row>
    <row r="232" spans="1:11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</row>
    <row r="233" spans="1:11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</row>
    <row r="234" spans="1:11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</row>
    <row r="235" spans="1:11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</row>
    <row r="236" spans="1:11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</row>
    <row r="237" spans="1:11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</row>
    <row r="238" spans="1:11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</row>
    <row r="239" spans="1:11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</row>
    <row r="240" spans="1:11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</row>
    <row r="241" spans="1:1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</row>
    <row r="242" spans="1:11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</row>
    <row r="243" spans="1:11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</row>
    <row r="244" spans="1:11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</row>
    <row r="245" spans="1:11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</row>
    <row r="246" spans="1:11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</row>
    <row r="247" spans="1:11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</row>
    <row r="248" spans="1:11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</row>
    <row r="249" spans="1:11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</row>
    <row r="250" spans="1:11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</row>
    <row r="251" spans="1:1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</row>
    <row r="252" spans="1:11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</row>
    <row r="253" spans="1:11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</row>
    <row r="254" spans="1:11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</row>
    <row r="255" spans="1:11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</row>
    <row r="256" spans="1:11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</row>
    <row r="257" spans="1:11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</row>
    <row r="258" spans="1:11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</row>
    <row r="259" spans="1:11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</row>
    <row r="260" spans="1:11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</row>
    <row r="261" spans="1:1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</row>
    <row r="262" spans="1:11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</row>
    <row r="263" spans="1:11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</row>
    <row r="264" spans="1:11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</row>
    <row r="265" spans="1:11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</row>
    <row r="266" spans="1:11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</row>
    <row r="267" spans="1:11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</row>
    <row r="268" spans="1:11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</row>
    <row r="269" spans="1:11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</row>
    <row r="270" spans="1:11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</row>
    <row r="271" spans="1:1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</row>
    <row r="272" spans="1:11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</row>
    <row r="273" spans="1:11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</row>
    <row r="274" spans="1:11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</row>
    <row r="275" spans="1:11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</row>
    <row r="276" spans="1:11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</row>
    <row r="277" spans="1:11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</row>
    <row r="278" spans="1:11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</row>
    <row r="279" spans="1:11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</row>
    <row r="280" spans="1:11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</row>
    <row r="281" spans="1:1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</row>
    <row r="282" spans="1:11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</row>
    <row r="283" spans="1:11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</row>
    <row r="284" spans="1:11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</row>
    <row r="285" spans="1:11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</row>
    <row r="286" spans="1:11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</row>
    <row r="287" spans="1:11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</row>
    <row r="288" spans="1:11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</row>
    <row r="289" spans="1:11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</row>
    <row r="290" spans="1:11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</row>
    <row r="291" spans="1:1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</row>
    <row r="292" spans="1:11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</row>
    <row r="293" spans="1:11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</row>
    <row r="294" spans="1:11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</row>
    <row r="295" spans="1:11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</row>
    <row r="296" spans="1:11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</row>
    <row r="297" spans="1:11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</row>
    <row r="298" spans="1:11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</row>
    <row r="299" spans="1:11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</row>
    <row r="300" spans="1:11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</row>
    <row r="301" spans="1:1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</row>
    <row r="302" spans="1:11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</row>
    <row r="303" spans="1:11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</row>
    <row r="304" spans="1:11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</row>
    <row r="305" spans="1:11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</row>
    <row r="306" spans="1:11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</row>
    <row r="307" spans="1:11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</row>
    <row r="308" spans="1:11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</row>
    <row r="309" spans="1:11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</row>
    <row r="310" spans="1:11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</row>
    <row r="311" spans="1: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</row>
    <row r="312" spans="1:11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</row>
    <row r="313" spans="1:11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</row>
    <row r="314" spans="1:11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</row>
    <row r="315" spans="1:11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</row>
    <row r="316" spans="1:11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</row>
    <row r="317" spans="1:11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</row>
    <row r="318" spans="1:11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</row>
    <row r="319" spans="1:11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</row>
    <row r="320" spans="1:11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</row>
    <row r="321" spans="1:1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</row>
    <row r="322" spans="1:11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</row>
    <row r="323" spans="1:11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</row>
    <row r="324" spans="1:11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</row>
    <row r="325" spans="1:11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</row>
    <row r="326" spans="1:11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</row>
    <row r="327" spans="1:11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</row>
    <row r="328" spans="1:11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</row>
    <row r="329" spans="1:11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</row>
    <row r="330" spans="1:11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</row>
    <row r="331" spans="1:1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</row>
    <row r="332" spans="1:11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</row>
    <row r="333" spans="1:11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</row>
    <row r="334" spans="1:11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</row>
    <row r="335" spans="1:11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</row>
    <row r="336" spans="1:11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</row>
    <row r="337" spans="1:11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</row>
    <row r="338" spans="1:11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</row>
    <row r="339" spans="1:11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</row>
    <row r="340" spans="1:11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</row>
    <row r="341" spans="1:1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</row>
    <row r="342" spans="1:11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</row>
    <row r="343" spans="1:11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</row>
    <row r="344" spans="1:11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</row>
    <row r="345" spans="1:11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</row>
    <row r="346" spans="1:11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</row>
    <row r="347" spans="1:11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</row>
    <row r="348" spans="1:11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</row>
    <row r="349" spans="1:11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</row>
    <row r="350" spans="1:11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</row>
    <row r="351" spans="1:1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</row>
    <row r="352" spans="1:11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</row>
    <row r="353" spans="1:11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</row>
    <row r="354" spans="1:11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</row>
    <row r="355" spans="1:11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</row>
    <row r="356" spans="1:11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</row>
    <row r="357" spans="1:11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</row>
    <row r="358" spans="1:11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</row>
    <row r="359" spans="1:11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</row>
    <row r="360" spans="1:11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</row>
    <row r="361" spans="1:1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</row>
    <row r="362" spans="1:11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</row>
    <row r="363" spans="1:11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</row>
    <row r="364" spans="1:11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</row>
    <row r="365" spans="1:11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</row>
    <row r="366" spans="1:11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</row>
    <row r="367" spans="1:11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</row>
    <row r="368" spans="1:11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</row>
    <row r="369" spans="1:11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</row>
    <row r="370" spans="1:11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</row>
    <row r="371" spans="1:1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</row>
    <row r="373" spans="1:11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</row>
    <row r="374" spans="1:11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</row>
    <row r="375" spans="1:11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</row>
    <row r="376" spans="1:11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</row>
    <row r="377" spans="1:11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</row>
    <row r="378" spans="1:11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</row>
    <row r="379" spans="1:11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</row>
    <row r="380" spans="1:11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</row>
    <row r="381" spans="1:1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</row>
    <row r="382" spans="1:11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</row>
    <row r="383" spans="1:11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</row>
    <row r="384" spans="1:11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</row>
    <row r="385" spans="1:11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</row>
    <row r="386" spans="1:11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</row>
    <row r="387" spans="1:11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</row>
    <row r="388" spans="1:11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</row>
    <row r="389" spans="1:11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</row>
    <row r="390" spans="1:11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</row>
    <row r="391" spans="1:1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</row>
    <row r="392" spans="1:11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</row>
    <row r="393" spans="1:11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</row>
    <row r="394" spans="1:11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</row>
    <row r="395" spans="1:11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</row>
    <row r="396" spans="1:11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</row>
    <row r="397" spans="1:11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</row>
    <row r="398" spans="1:11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</row>
    <row r="399" spans="1:11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</row>
    <row r="400" spans="1:11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</row>
    <row r="401" spans="1:1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</row>
    <row r="402" spans="1:11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</row>
    <row r="403" spans="1:11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</row>
    <row r="404" spans="1:11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</row>
    <row r="405" spans="1:11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</row>
    <row r="406" spans="1:11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</row>
    <row r="407" spans="1:11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</row>
    <row r="408" spans="1:11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</row>
    <row r="410" spans="1:11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</row>
    <row r="411" spans="1: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</row>
    <row r="412" spans="1:11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</row>
    <row r="413" spans="1:11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</row>
    <row r="414" spans="1:11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</row>
    <row r="415" spans="1:11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</row>
    <row r="416" spans="1:11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</row>
  </sheetData>
  <autoFilter ref="A1:K1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 Needs Planning</vt:lpstr>
      <vt:lpstr>COMP TA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Emre Gürsoy</cp:lastModifiedBy>
  <dcterms:modified xsi:type="dcterms:W3CDTF">2025-02-23T21:25:04Z</dcterms:modified>
</cp:coreProperties>
</file>